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 Pricing" sheetId="1" r:id="rId1"/>
    <sheet name="Infrastructure Cost" sheetId="2" r:id="rId2"/>
    <sheet name="Profit Analysis" sheetId="3" r:id="rId3"/>
    <sheet name="Competitor Comparison" sheetId="4" r:id="rId4"/>
  </sheets>
  <calcPr calcId="124519" fullCalcOnLoad="1"/>
</workbook>
</file>

<file path=xl/sharedStrings.xml><?xml version="1.0" encoding="utf-8"?>
<sst xmlns="http://schemas.openxmlformats.org/spreadsheetml/2006/main" count="211" uniqueCount="141">
  <si>
    <t>KW GROWTH ENGINE - SUBSCRIPTION PLAN PRICING (KWD)</t>
  </si>
  <si>
    <t>Feature / Limit</t>
  </si>
  <si>
    <t>Starter</t>
  </si>
  <si>
    <t>Growth</t>
  </si>
  <si>
    <t>Enterprise</t>
  </si>
  <si>
    <t>Notes</t>
  </si>
  <si>
    <t>Monthly Price (KWD)</t>
  </si>
  <si>
    <t>Billed monthly</t>
  </si>
  <si>
    <t>Yearly Price (KWD)</t>
  </si>
  <si>
    <t>Billed annually (save ~17%)</t>
  </si>
  <si>
    <t>Yearly Discount %</t>
  </si>
  <si>
    <t>Formula</t>
  </si>
  <si>
    <t>FEATURE LIMITS</t>
  </si>
  <si>
    <t>Max Contacts</t>
  </si>
  <si>
    <t>Conversations / Month</t>
  </si>
  <si>
    <t>Team Members</t>
  </si>
  <si>
    <t>Automations</t>
  </si>
  <si>
    <t>Pipelines</t>
  </si>
  <si>
    <t>Landing Pages</t>
  </si>
  <si>
    <t>AI Dialect Engine</t>
  </si>
  <si>
    <t>No</t>
  </si>
  <si>
    <t>Yes</t>
  </si>
  <si>
    <t>Claude API powered</t>
  </si>
  <si>
    <t>API Access</t>
  </si>
  <si>
    <t>REST API + Webhooks</t>
  </si>
  <si>
    <t>WhatsApp Templates</t>
  </si>
  <si>
    <t>Included</t>
  </si>
  <si>
    <t>Shipping Integration</t>
  </si>
  <si>
    <t>Aramex/DHL/Fetchr</t>
  </si>
  <si>
    <t>Chatbot Flow Builder</t>
  </si>
  <si>
    <t>Basic</t>
  </si>
  <si>
    <t>Full</t>
  </si>
  <si>
    <t>Visual editor</t>
  </si>
  <si>
    <t>Campaigns / Broadcasts</t>
  </si>
  <si>
    <t>3/mo</t>
  </si>
  <si>
    <t>Unlimited</t>
  </si>
  <si>
    <t>Bulk WhatsApp</t>
  </si>
  <si>
    <t>Data Export (CSV)</t>
  </si>
  <si>
    <t>Contacts/Deals/Convos</t>
  </si>
  <si>
    <t>Custom Reports</t>
  </si>
  <si>
    <t>Report builder</t>
  </si>
  <si>
    <t>Support Level</t>
  </si>
  <si>
    <t>Email</t>
  </si>
  <si>
    <t>Email+Chat</t>
  </si>
  <si>
    <t>Priority+Phone</t>
  </si>
  <si>
    <t>MONTHLY INFRASTRUCTURE COST PER CUSTOMER (KWD)</t>
  </si>
  <si>
    <t>Assumptions: AWS me-south-1 (Bahrain) | 1 KWD = 3.26 USD | Shared infra allocated by tier</t>
  </si>
  <si>
    <t>Cost Component</t>
  </si>
  <si>
    <t>Source / Notes</t>
  </si>
  <si>
    <t>ASSUMPTIONS</t>
  </si>
  <si>
    <t>Assumed Customers per Tier</t>
  </si>
  <si>
    <t>Editable assumption (blue)</t>
  </si>
  <si>
    <t>AWS INFRASTRUCTURE (shared)</t>
  </si>
  <si>
    <t>EC2 (2x t3.medium API + 2x worker)</t>
  </si>
  <si>
    <t>$97/mo total, allocated by tier weight</t>
  </si>
  <si>
    <t>RDS PostgreSQL 16 (db.t3.medium multi-AZ)</t>
  </si>
  <si>
    <t>$163/mo total, 14-day backup</t>
  </si>
  <si>
    <t>ElastiCache Redis (cache.t3.medium x2)</t>
  </si>
  <si>
    <t>$65/mo total</t>
  </si>
  <si>
    <t>S3 Storage (media files)</t>
  </si>
  <si>
    <t>$0.023/GB stored</t>
  </si>
  <si>
    <t>ALB + Data Transfer</t>
  </si>
  <si>
    <t>$25/mo ALB + $0.09/GB out</t>
  </si>
  <si>
    <t>Total AWS per Customer</t>
  </si>
  <si>
    <t>Formula: sum of AWS costs</t>
  </si>
  <si>
    <t>WHATSAPP API (Meta 2026 pricing)</t>
  </si>
  <si>
    <t>Service Convos (24h free window)</t>
  </si>
  <si>
    <t>Free: customer-initiated replies</t>
  </si>
  <si>
    <t>Marketing Messages (~10-20% of convos)</t>
  </si>
  <si>
    <t>~$0.065/msg avg, varies by country</t>
  </si>
  <si>
    <t>Utility Messages (~5% of convos)</t>
  </si>
  <si>
    <t>~$0.025/msg avg (order updates, tracking)</t>
  </si>
  <si>
    <t>Total WhatsApp API per Customer</t>
  </si>
  <si>
    <t>Formula: sum of WA costs</t>
  </si>
  <si>
    <t>AI ENGINE (Anthropic Claude Haiku)</t>
  </si>
  <si>
    <t>Claude API calls/month</t>
  </si>
  <si>
    <t>Starter: no AI. $0.25/1M input tokens</t>
  </si>
  <si>
    <t>PAYMENT PROCESSING (Tap)</t>
  </si>
  <si>
    <t>Tap fee on subscription (2.65%)</t>
  </si>
  <si>
    <t>K-Net ~1.5%, Visa/MC ~2.65%</t>
  </si>
  <si>
    <t>OTHER COSTS</t>
  </si>
  <si>
    <t>Domain + SSL Certificate</t>
  </si>
  <si>
    <t>$15/yr shared</t>
  </si>
  <si>
    <t>Sentry Error Tracking</t>
  </si>
  <si>
    <t>$26/mo team plan shared</t>
  </si>
  <si>
    <t>Email (AWS SES)</t>
  </si>
  <si>
    <t>$0.10/1000 emails</t>
  </si>
  <si>
    <t>TOTAL COST PER CUSTOMER / MONTH</t>
  </si>
  <si>
    <t>Sum: AWS + WhatsApp + AI + Tap + Other</t>
  </si>
  <si>
    <t>PROFIT &amp; MARGIN ANALYSIS PER CUSTOMER (KWD/MONTH)</t>
  </si>
  <si>
    <t>Metric</t>
  </si>
  <si>
    <t>Calculation</t>
  </si>
  <si>
    <t>Monthly Revenue (Plan Price)</t>
  </si>
  <si>
    <t>From Plan Pricing sheet</t>
  </si>
  <si>
    <t>Total Cost per Customer</t>
  </si>
  <si>
    <t>From Infrastructure Cost sheet</t>
  </si>
  <si>
    <t>GROSS PROFIT / MONTH</t>
  </si>
  <si>
    <t>Revenue - Cost</t>
  </si>
  <si>
    <t>GROSS MARGIN %</t>
  </si>
  <si>
    <t>Profit / Revenue</t>
  </si>
  <si>
    <t>ANNUAL METRICS</t>
  </si>
  <si>
    <t>Annual Revenue (monthly billing)</t>
  </si>
  <si>
    <t>Annual Revenue (yearly billing)</t>
  </si>
  <si>
    <t>Annual Cost</t>
  </si>
  <si>
    <t>Annual Profit (monthly billing)</t>
  </si>
  <si>
    <t>Annual Profit (yearly billing)</t>
  </si>
  <si>
    <t>FLEET ECONOMICS (all customers)</t>
  </si>
  <si>
    <t>Customers per Tier</t>
  </si>
  <si>
    <t>Monthly Fleet Revenue</t>
  </si>
  <si>
    <t>Monthly Fleet Cost</t>
  </si>
  <si>
    <t>MONTHLY FLEET PROFIT</t>
  </si>
  <si>
    <t>ANNUAL FLEET PROFIT</t>
  </si>
  <si>
    <t>TOTAL ANNUAL PROFIT (ALL TIERS)</t>
  </si>
  <si>
    <t>Combined profit from all tiers</t>
  </si>
  <si>
    <t>COMPETITOR PRICING COMPARISON (Monthly)</t>
  </si>
  <si>
    <t>Plan Tier</t>
  </si>
  <si>
    <t>KW Growth (KWD)</t>
  </si>
  <si>
    <t>KW Growth (USD)</t>
  </si>
  <si>
    <t>Respond.io (USD)</t>
  </si>
  <si>
    <t>WATI (USD)</t>
  </si>
  <si>
    <t>SleekFlow (USD)</t>
  </si>
  <si>
    <t>Entry / Starter</t>
  </si>
  <si>
    <t>Mid / Growth</t>
  </si>
  <si>
    <t>High / Enterprise</t>
  </si>
  <si>
    <t>Custom</t>
  </si>
  <si>
    <t>PRICE ADVANTAGE</t>
  </si>
  <si>
    <t>vs Respond.io Starter</t>
  </si>
  <si>
    <t>savings</t>
  </si>
  <si>
    <t>vs Respond.io Growth</t>
  </si>
  <si>
    <t>vs Respond.io Enterprise</t>
  </si>
  <si>
    <t>UNIQUE FEATURES (included)</t>
  </si>
  <si>
    <t>Kuwait K-Net Payments</t>
  </si>
  <si>
    <t>Kuwaiti Dialect AI</t>
  </si>
  <si>
    <t>Shipping + WhatsApp Tracking</t>
  </si>
  <si>
    <t>Landing Page Builder</t>
  </si>
  <si>
    <t>GCC Data Residency (Bahrain)</t>
  </si>
  <si>
    <t>Partial</t>
  </si>
  <si>
    <t>Sales Pipeline / Kanban</t>
  </si>
  <si>
    <t>Instagram + Facebook DM</t>
  </si>
  <si>
    <t>Visual Chatbot Builder</t>
  </si>
  <si>
    <t>Broadcast Campaigns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</si>
</sst>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0.0%"/>
    <numFmt numFmtId="166" formatCode="#,##0"/>
    <numFmt numFmtId="167" formatCode="$#,##0"/>
  </numFmts>
  <fonts count="7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i/>
      <sz val="9"/>
      <color rgb="FF66666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5722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9C27B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3" fillId="7" borderId="1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1" fillId="8" borderId="0" xfId="0" applyFont="1" applyFill="1" applyAlignment="1">
      <alignment horizontal="center"/>
    </xf>
    <xf numFmtId="164" fontId="3" fillId="5" borderId="1" xfId="0" applyNumberFormat="1" applyFont="1" applyFill="1" applyBorder="1" applyAlignment="1">
      <alignment vertical="center"/>
    </xf>
    <xf numFmtId="165" fontId="3" fillId="5" borderId="1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" fillId="9" borderId="0" xfId="0" applyFont="1" applyFill="1" applyAlignment="1">
      <alignment horizontal="center"/>
    </xf>
    <xf numFmtId="167" fontId="5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D366"/>
  </sheetPr>
  <dimension ref="A1:E23"/>
  <sheetViews>
    <sheetView tabSelected="1" workbookViewId="0"/>
  </sheetViews>
  <sheetFormatPr defaultRowHeight="15"/>
  <cols>
    <col min="1" max="1" width="35.7109375" customWidth="1"/>
    <col min="2" max="4" width="18.7109375" customWidth="1"/>
    <col min="5" max="5" width="22.7109375" customWidth="1"/>
  </cols>
  <sheetData>
    <row r="1" spans="1:5" ht="35" customHeight="1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4">
        <v>9.9</v>
      </c>
      <c r="C4" s="4">
        <v>29.9</v>
      </c>
      <c r="D4" s="4">
        <v>79.90000000000001</v>
      </c>
      <c r="E4" s="5" t="s">
        <v>7</v>
      </c>
    </row>
    <row r="5" spans="1:5">
      <c r="A5" s="3" t="s">
        <v>8</v>
      </c>
      <c r="B5" s="4">
        <v>99</v>
      </c>
      <c r="C5" s="4">
        <v>299</v>
      </c>
      <c r="D5" s="4">
        <v>799</v>
      </c>
      <c r="E5" s="5" t="s">
        <v>9</v>
      </c>
    </row>
    <row r="6" spans="1:5">
      <c r="A6" s="3" t="s">
        <v>10</v>
      </c>
      <c r="B6" s="6">
        <f>1-(B5/(B4*12))</f>
        <v>0</v>
      </c>
      <c r="C6" s="6">
        <f>1-(C5/(C4*12))</f>
        <v>0</v>
      </c>
      <c r="D6" s="6">
        <f>1-(D5/(D4*12))</f>
        <v>0</v>
      </c>
      <c r="E6" s="5" t="s">
        <v>11</v>
      </c>
    </row>
    <row r="7" spans="1:5">
      <c r="A7" s="5"/>
    </row>
    <row r="8" spans="1:5">
      <c r="A8" s="7" t="s">
        <v>12</v>
      </c>
      <c r="B8" s="7"/>
      <c r="C8" s="7"/>
      <c r="D8" s="7"/>
      <c r="E8" s="7"/>
    </row>
    <row r="9" spans="1:5">
      <c r="A9" s="5" t="s">
        <v>13</v>
      </c>
      <c r="B9" s="8">
        <v>500</v>
      </c>
      <c r="C9" s="8">
        <v>5000</v>
      </c>
      <c r="D9" s="8">
        <v>50000</v>
      </c>
      <c r="E9" s="5"/>
    </row>
    <row r="10" spans="1:5">
      <c r="A10" s="5" t="s">
        <v>14</v>
      </c>
      <c r="B10" s="8">
        <v>1000</v>
      </c>
      <c r="C10" s="8">
        <v>10000</v>
      </c>
      <c r="D10" s="8">
        <v>100000</v>
      </c>
      <c r="E10" s="5"/>
    </row>
    <row r="11" spans="1:5">
      <c r="A11" s="5" t="s">
        <v>15</v>
      </c>
      <c r="B11" s="8">
        <v>3</v>
      </c>
      <c r="C11" s="8">
        <v>10</v>
      </c>
      <c r="D11" s="8">
        <v>50</v>
      </c>
      <c r="E11" s="5"/>
    </row>
    <row r="12" spans="1:5">
      <c r="A12" s="5" t="s">
        <v>16</v>
      </c>
      <c r="B12" s="8">
        <v>5</v>
      </c>
      <c r="C12" s="8">
        <v>25</v>
      </c>
      <c r="D12" s="8">
        <v>100</v>
      </c>
      <c r="E12" s="5"/>
    </row>
    <row r="13" spans="1:5">
      <c r="A13" s="5" t="s">
        <v>17</v>
      </c>
      <c r="B13" s="8">
        <v>1</v>
      </c>
      <c r="C13" s="8">
        <v>3</v>
      </c>
      <c r="D13" s="8">
        <v>10</v>
      </c>
      <c r="E13" s="5"/>
    </row>
    <row r="14" spans="1:5">
      <c r="A14" s="5" t="s">
        <v>18</v>
      </c>
      <c r="B14" s="8">
        <v>3</v>
      </c>
      <c r="C14" s="8">
        <v>10</v>
      </c>
      <c r="D14" s="8">
        <v>50</v>
      </c>
      <c r="E14" s="5"/>
    </row>
    <row r="15" spans="1:5">
      <c r="A15" s="5" t="s">
        <v>19</v>
      </c>
      <c r="B15" s="9" t="s">
        <v>20</v>
      </c>
      <c r="C15" s="10" t="s">
        <v>21</v>
      </c>
      <c r="D15" s="10" t="s">
        <v>21</v>
      </c>
      <c r="E15" s="5" t="s">
        <v>22</v>
      </c>
    </row>
    <row r="16" spans="1:5">
      <c r="A16" s="5" t="s">
        <v>23</v>
      </c>
      <c r="B16" s="9" t="s">
        <v>20</v>
      </c>
      <c r="C16" s="9" t="s">
        <v>20</v>
      </c>
      <c r="D16" s="10" t="s">
        <v>21</v>
      </c>
      <c r="E16" s="5" t="s">
        <v>24</v>
      </c>
    </row>
    <row r="17" spans="1:5">
      <c r="A17" s="5" t="s">
        <v>25</v>
      </c>
      <c r="B17" s="10" t="s">
        <v>21</v>
      </c>
      <c r="C17" s="10" t="s">
        <v>21</v>
      </c>
      <c r="D17" s="10" t="s">
        <v>21</v>
      </c>
      <c r="E17" s="5" t="s">
        <v>26</v>
      </c>
    </row>
    <row r="18" spans="1:5">
      <c r="A18" s="5" t="s">
        <v>27</v>
      </c>
      <c r="B18" s="10" t="s">
        <v>21</v>
      </c>
      <c r="C18" s="10" t="s">
        <v>21</v>
      </c>
      <c r="D18" s="10" t="s">
        <v>21</v>
      </c>
      <c r="E18" s="5" t="s">
        <v>28</v>
      </c>
    </row>
    <row r="19" spans="1:5">
      <c r="A19" s="5" t="s">
        <v>29</v>
      </c>
      <c r="B19" s="5" t="s">
        <v>30</v>
      </c>
      <c r="C19" s="5" t="s">
        <v>31</v>
      </c>
      <c r="D19" s="5" t="s">
        <v>31</v>
      </c>
      <c r="E19" s="5" t="s">
        <v>32</v>
      </c>
    </row>
    <row r="20" spans="1:5">
      <c r="A20" s="5" t="s">
        <v>33</v>
      </c>
      <c r="B20" s="5" t="s">
        <v>34</v>
      </c>
      <c r="C20" s="5" t="s">
        <v>35</v>
      </c>
      <c r="D20" s="5" t="s">
        <v>35</v>
      </c>
      <c r="E20" s="5" t="s">
        <v>36</v>
      </c>
    </row>
    <row r="21" spans="1:5">
      <c r="A21" s="5" t="s">
        <v>37</v>
      </c>
      <c r="B21" s="9" t="s">
        <v>20</v>
      </c>
      <c r="C21" s="10" t="s">
        <v>21</v>
      </c>
      <c r="D21" s="10" t="s">
        <v>21</v>
      </c>
      <c r="E21" s="5" t="s">
        <v>38</v>
      </c>
    </row>
    <row r="22" spans="1:5">
      <c r="A22" s="5" t="s">
        <v>39</v>
      </c>
      <c r="B22" s="9" t="s">
        <v>20</v>
      </c>
      <c r="C22" s="9" t="s">
        <v>20</v>
      </c>
      <c r="D22" s="10" t="s">
        <v>21</v>
      </c>
      <c r="E22" s="5" t="s">
        <v>40</v>
      </c>
    </row>
    <row r="23" spans="1:5">
      <c r="A23" s="5" t="s">
        <v>41</v>
      </c>
      <c r="B23" s="5" t="s">
        <v>42</v>
      </c>
      <c r="C23" s="5" t="s">
        <v>43</v>
      </c>
      <c r="D23" s="5" t="s">
        <v>44</v>
      </c>
      <c r="E23" s="5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5722"/>
  </sheetPr>
  <dimension ref="A1:E33"/>
  <sheetViews>
    <sheetView workbookViewId="0"/>
  </sheetViews>
  <sheetFormatPr defaultRowHeight="15"/>
  <cols>
    <col min="1" max="1" width="38.7109375" customWidth="1"/>
    <col min="2" max="4" width="16.7109375" customWidth="1"/>
    <col min="5" max="5" width="32.7109375" customWidth="1"/>
  </cols>
  <sheetData>
    <row r="1" spans="1:5" ht="35" customHeight="1">
      <c r="A1" s="11" t="s">
        <v>45</v>
      </c>
      <c r="B1" s="11"/>
      <c r="C1" s="11"/>
      <c r="D1" s="11"/>
      <c r="E1" s="11"/>
    </row>
    <row r="2" spans="1:5">
      <c r="A2" s="12" t="s">
        <v>46</v>
      </c>
      <c r="B2" s="12"/>
      <c r="C2" s="12"/>
      <c r="D2" s="12"/>
      <c r="E2" s="12"/>
    </row>
    <row r="4" spans="1:5">
      <c r="A4" s="2" t="s">
        <v>47</v>
      </c>
      <c r="B4" s="2" t="s">
        <v>2</v>
      </c>
      <c r="C4" s="2" t="s">
        <v>3</v>
      </c>
      <c r="D4" s="2" t="s">
        <v>4</v>
      </c>
      <c r="E4" s="2" t="s">
        <v>48</v>
      </c>
    </row>
    <row r="5" spans="1:5">
      <c r="A5" s="7" t="s">
        <v>49</v>
      </c>
      <c r="B5" s="7"/>
      <c r="C5" s="7"/>
      <c r="D5" s="7"/>
      <c r="E5" s="7"/>
    </row>
    <row r="6" spans="1:5">
      <c r="A6" s="3" t="s">
        <v>50</v>
      </c>
      <c r="B6" s="8">
        <v>100</v>
      </c>
      <c r="C6" s="8">
        <v>30</v>
      </c>
      <c r="D6" s="8">
        <v>5</v>
      </c>
      <c r="E6" s="5" t="s">
        <v>51</v>
      </c>
    </row>
    <row r="8" spans="1:5">
      <c r="A8" s="7" t="s">
        <v>52</v>
      </c>
      <c r="B8" s="7"/>
      <c r="C8" s="7"/>
      <c r="D8" s="7"/>
      <c r="E8" s="7"/>
    </row>
    <row r="9" spans="1:5">
      <c r="A9" s="5" t="s">
        <v>53</v>
      </c>
      <c r="B9" s="4">
        <v>0.45</v>
      </c>
      <c r="C9" s="4">
        <v>0.9</v>
      </c>
      <c r="D9" s="4">
        <v>1.8</v>
      </c>
      <c r="E9" s="5" t="s">
        <v>54</v>
      </c>
    </row>
    <row r="10" spans="1:5">
      <c r="A10" s="5" t="s">
        <v>55</v>
      </c>
      <c r="B10" s="4">
        <v>0.25</v>
      </c>
      <c r="C10" s="4">
        <v>0.5</v>
      </c>
      <c r="D10" s="4">
        <v>1</v>
      </c>
      <c r="E10" s="5" t="s">
        <v>56</v>
      </c>
    </row>
    <row r="11" spans="1:5">
      <c r="A11" s="5" t="s">
        <v>57</v>
      </c>
      <c r="B11" s="4">
        <v>0.1</v>
      </c>
      <c r="C11" s="4">
        <v>0.2</v>
      </c>
      <c r="D11" s="4">
        <v>0.4</v>
      </c>
      <c r="E11" s="5" t="s">
        <v>58</v>
      </c>
    </row>
    <row r="12" spans="1:5">
      <c r="A12" s="5" t="s">
        <v>59</v>
      </c>
      <c r="B12" s="4">
        <v>0.02</v>
      </c>
      <c r="C12" s="4">
        <v>0.1</v>
      </c>
      <c r="D12" s="4">
        <v>0.5</v>
      </c>
      <c r="E12" s="5" t="s">
        <v>60</v>
      </c>
    </row>
    <row r="13" spans="1:5">
      <c r="A13" s="5" t="s">
        <v>61</v>
      </c>
      <c r="B13" s="4">
        <v>0.05</v>
      </c>
      <c r="C13" s="4">
        <v>0.1</v>
      </c>
      <c r="D13" s="4">
        <v>0.3</v>
      </c>
      <c r="E13" s="5" t="s">
        <v>62</v>
      </c>
    </row>
    <row r="14" spans="1:5">
      <c r="A14" s="3" t="s">
        <v>63</v>
      </c>
      <c r="B14" s="13">
        <f>SUM(B9:B13)</f>
        <v>0</v>
      </c>
      <c r="C14" s="13">
        <f>SUM(C9:C13)</f>
        <v>0</v>
      </c>
      <c r="D14" s="13">
        <f>SUM(D9:D13)</f>
        <v>0</v>
      </c>
      <c r="E14" s="5" t="s">
        <v>64</v>
      </c>
    </row>
    <row r="16" spans="1:5">
      <c r="A16" s="7" t="s">
        <v>65</v>
      </c>
      <c r="B16" s="7"/>
      <c r="C16" s="7"/>
      <c r="D16" s="7"/>
      <c r="E16" s="7"/>
    </row>
    <row r="17" spans="1:5">
      <c r="A17" s="5" t="s">
        <v>66</v>
      </c>
      <c r="B17" s="4">
        <v>0</v>
      </c>
      <c r="C17" s="4">
        <v>0</v>
      </c>
      <c r="D17" s="4">
        <v>0</v>
      </c>
      <c r="E17" s="5" t="s">
        <v>67</v>
      </c>
    </row>
    <row r="18" spans="1:5">
      <c r="A18" s="5" t="s">
        <v>68</v>
      </c>
      <c r="B18" s="4">
        <v>0.2</v>
      </c>
      <c r="C18" s="4">
        <v>1.5</v>
      </c>
      <c r="D18" s="4">
        <v>10</v>
      </c>
      <c r="E18" s="5" t="s">
        <v>69</v>
      </c>
    </row>
    <row r="19" spans="1:5">
      <c r="A19" s="5" t="s">
        <v>70</v>
      </c>
      <c r="B19" s="4">
        <v>0.05</v>
      </c>
      <c r="C19" s="4">
        <v>0.3</v>
      </c>
      <c r="D19" s="4">
        <v>2</v>
      </c>
      <c r="E19" s="5" t="s">
        <v>71</v>
      </c>
    </row>
    <row r="20" spans="1:5">
      <c r="A20" s="3" t="s">
        <v>72</v>
      </c>
      <c r="B20" s="13">
        <f>SUM(B17:B19)</f>
        <v>0</v>
      </c>
      <c r="C20" s="13">
        <f>SUM(C17:C19)</f>
        <v>0</v>
      </c>
      <c r="D20" s="13">
        <f>SUM(D17:D19)</f>
        <v>0</v>
      </c>
      <c r="E20" s="5" t="s">
        <v>73</v>
      </c>
    </row>
    <row r="22" spans="1:5">
      <c r="A22" s="7" t="s">
        <v>74</v>
      </c>
      <c r="B22" s="7"/>
      <c r="C22" s="7"/>
      <c r="D22" s="7"/>
      <c r="E22" s="7"/>
    </row>
    <row r="23" spans="1:5">
      <c r="A23" s="5" t="s">
        <v>75</v>
      </c>
      <c r="B23" s="4">
        <v>0</v>
      </c>
      <c r="C23" s="4">
        <v>0.15</v>
      </c>
      <c r="D23" s="4">
        <v>0.8</v>
      </c>
      <c r="E23" s="5" t="s">
        <v>76</v>
      </c>
    </row>
    <row r="25" spans="1:5">
      <c r="A25" s="7" t="s">
        <v>77</v>
      </c>
      <c r="B25" s="7"/>
      <c r="C25" s="7"/>
      <c r="D25" s="7"/>
      <c r="E25" s="7"/>
    </row>
    <row r="26" spans="1:5">
      <c r="A26" s="5" t="s">
        <v>78</v>
      </c>
      <c r="B26" s="14">
        <f>'Plan Pricing'!B4*0.0265</f>
        <v>0</v>
      </c>
      <c r="C26" s="14">
        <f>'Plan Pricing'!C4*0.0265</f>
        <v>0</v>
      </c>
      <c r="D26" s="14">
        <f>'Plan Pricing'!D4*0.0265</f>
        <v>0</v>
      </c>
      <c r="E26" s="5" t="s">
        <v>79</v>
      </c>
    </row>
    <row r="28" spans="1:5">
      <c r="A28" s="7" t="s">
        <v>80</v>
      </c>
      <c r="B28" s="7"/>
      <c r="C28" s="7"/>
      <c r="D28" s="7"/>
      <c r="E28" s="7"/>
    </row>
    <row r="29" spans="1:5">
      <c r="A29" s="5" t="s">
        <v>81</v>
      </c>
      <c r="B29" s="4">
        <v>0.005</v>
      </c>
      <c r="C29" s="4">
        <v>0.005</v>
      </c>
      <c r="D29" s="4">
        <v>0.005</v>
      </c>
      <c r="E29" s="5" t="s">
        <v>82</v>
      </c>
    </row>
    <row r="30" spans="1:5">
      <c r="A30" s="5" t="s">
        <v>83</v>
      </c>
      <c r="B30" s="4">
        <v>0.01</v>
      </c>
      <c r="C30" s="4">
        <v>0.01</v>
      </c>
      <c r="D30" s="4">
        <v>0.01</v>
      </c>
      <c r="E30" s="5" t="s">
        <v>84</v>
      </c>
    </row>
    <row r="31" spans="1:5">
      <c r="A31" s="5" t="s">
        <v>85</v>
      </c>
      <c r="B31" s="4">
        <v>0.002</v>
      </c>
      <c r="C31" s="4">
        <v>0.01</v>
      </c>
      <c r="D31" s="4">
        <v>0.05</v>
      </c>
      <c r="E31" s="5" t="s">
        <v>86</v>
      </c>
    </row>
    <row r="33" spans="1:5">
      <c r="A33" s="3" t="s">
        <v>87</v>
      </c>
      <c r="B33" s="13">
        <f>B14+B20+B23+B26+SUM(B29:B31)</f>
        <v>0</v>
      </c>
      <c r="C33" s="13">
        <f>C14+C20+C23+C26+SUM(C29:C31)</f>
        <v>0</v>
      </c>
      <c r="D33" s="13">
        <f>D14+D20+D23+D26+SUM(D29:D31)</f>
        <v>0</v>
      </c>
      <c r="E33" s="5" t="s">
        <v>88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CAF50"/>
  </sheetPr>
  <dimension ref="A1:E48"/>
  <sheetViews>
    <sheetView workbookViewId="0"/>
  </sheetViews>
  <sheetFormatPr defaultRowHeight="15"/>
  <cols>
    <col min="1" max="1" width="38.7109375" customWidth="1"/>
    <col min="2" max="4" width="18.7109375" customWidth="1"/>
    <col min="5" max="5" width="28.7109375" customWidth="1"/>
  </cols>
  <sheetData>
    <row r="1" spans="1:5" ht="35" customHeight="1">
      <c r="A1" s="15" t="s">
        <v>89</v>
      </c>
      <c r="B1" s="15"/>
      <c r="C1" s="15"/>
      <c r="D1" s="15"/>
      <c r="E1" s="15"/>
    </row>
    <row r="3" spans="1:5">
      <c r="A3" s="2" t="s">
        <v>90</v>
      </c>
      <c r="B3" s="2" t="s">
        <v>2</v>
      </c>
      <c r="C3" s="2" t="s">
        <v>3</v>
      </c>
      <c r="D3" s="2" t="s">
        <v>4</v>
      </c>
      <c r="E3" s="2" t="s">
        <v>91</v>
      </c>
    </row>
    <row r="4" spans="1:5">
      <c r="A4" s="3" t="s">
        <v>92</v>
      </c>
      <c r="B4" s="14">
        <f>'Plan Pricing'!B4</f>
        <v>0</v>
      </c>
      <c r="C4" s="14">
        <f>'Plan Pricing'!C4</f>
        <v>0</v>
      </c>
      <c r="D4" s="14">
        <f>'Plan Pricing'!D4</f>
        <v>0</v>
      </c>
      <c r="E4" s="5" t="s">
        <v>93</v>
      </c>
    </row>
    <row r="5" spans="1:5">
      <c r="A5" s="3" t="s">
        <v>94</v>
      </c>
      <c r="B5" s="14">
        <f>'Infrastructure Cost'!B33</f>
        <v>0</v>
      </c>
      <c r="C5" s="14">
        <f>'Infrastructure Cost'!C33</f>
        <v>0</v>
      </c>
      <c r="D5" s="14">
        <f>'Infrastructure Cost'!D33</f>
        <v>0</v>
      </c>
      <c r="E5" s="5" t="s">
        <v>95</v>
      </c>
    </row>
    <row r="7" spans="1:5">
      <c r="A7" s="3" t="s">
        <v>96</v>
      </c>
      <c r="B7" s="16">
        <f>B4-B5</f>
        <v>0</v>
      </c>
      <c r="C7" s="16">
        <f>C4-C5</f>
        <v>0</v>
      </c>
      <c r="D7" s="16">
        <f>D4-D5</f>
        <v>0</v>
      </c>
      <c r="E7" s="5" t="s">
        <v>97</v>
      </c>
    </row>
    <row r="8" spans="1:5">
      <c r="A8" s="3" t="s">
        <v>98</v>
      </c>
      <c r="B8" s="17">
        <f>IF(B4&gt;0,B7/B4,0)</f>
        <v>0</v>
      </c>
      <c r="C8" s="17">
        <f>IF(C4&gt;0,C7/C4,0)</f>
        <v>0</v>
      </c>
      <c r="D8" s="17">
        <f>IF(D4&gt;0,D7/D4,0)</f>
        <v>0</v>
      </c>
      <c r="E8" s="5" t="s">
        <v>99</v>
      </c>
    </row>
    <row r="10" spans="1:5">
      <c r="A10" s="7" t="s">
        <v>100</v>
      </c>
      <c r="B10" s="7"/>
      <c r="C10" s="7"/>
      <c r="D10" s="7"/>
      <c r="E10" s="7"/>
    </row>
    <row r="11" spans="1:5">
      <c r="A11" s="5" t="s">
        <v>101</v>
      </c>
      <c r="B11" s="18">
        <f>B4*12</f>
        <v>0</v>
      </c>
    </row>
    <row r="12" spans="1:5">
      <c r="C12" s="18">
        <f>C4*12</f>
        <v>0</v>
      </c>
    </row>
    <row r="13" spans="1:5">
      <c r="D13" s="18">
        <f>D4*12</f>
        <v>0</v>
      </c>
    </row>
    <row r="14" spans="1:5">
      <c r="A14" s="5" t="s">
        <v>102</v>
      </c>
      <c r="B14" s="14">
        <f>'Plan Pricing'!B5</f>
        <v>0</v>
      </c>
    </row>
    <row r="15" spans="1:5">
      <c r="C15" s="14">
        <f>'Plan Pricing'!C5</f>
        <v>0</v>
      </c>
    </row>
    <row r="16" spans="1:5">
      <c r="D16" s="14">
        <f>'Plan Pricing'!D5</f>
        <v>0</v>
      </c>
    </row>
    <row r="17" spans="1:5">
      <c r="A17" s="5" t="s">
        <v>103</v>
      </c>
      <c r="B17" s="14">
        <f>B5*12</f>
        <v>0</v>
      </c>
    </row>
    <row r="18" spans="1:5">
      <c r="C18" s="14">
        <f>C5*12</f>
        <v>0</v>
      </c>
    </row>
    <row r="19" spans="1:5">
      <c r="D19" s="14">
        <f>D5*12</f>
        <v>0</v>
      </c>
    </row>
    <row r="20" spans="1:5">
      <c r="A20" s="3" t="s">
        <v>104</v>
      </c>
      <c r="B20" s="16">
        <f>B4*12-B19</f>
        <v>0</v>
      </c>
    </row>
    <row r="21" spans="1:5">
      <c r="C21" s="16">
        <f>C4*12-C19</f>
        <v>0</v>
      </c>
    </row>
    <row r="22" spans="1:5">
      <c r="D22" s="16">
        <f>D4*12-D19</f>
        <v>0</v>
      </c>
    </row>
    <row r="23" spans="1:5">
      <c r="A23" s="3" t="s">
        <v>105</v>
      </c>
      <c r="B23" s="16">
        <f>'Plan Pricing'!B5-B19</f>
        <v>0</v>
      </c>
    </row>
    <row r="25" spans="1:5">
      <c r="C25" s="16">
        <f>'Plan Pricing'!C5-C19</f>
        <v>0</v>
      </c>
    </row>
    <row r="27" spans="1:5">
      <c r="D27" s="16">
        <f>'Plan Pricing'!D5-D19</f>
        <v>0</v>
      </c>
    </row>
    <row r="29" spans="1:5">
      <c r="A29" s="7" t="s">
        <v>106</v>
      </c>
      <c r="B29" s="7"/>
      <c r="C29" s="7"/>
      <c r="D29" s="7"/>
      <c r="E29" s="7"/>
    </row>
    <row r="30" spans="1:5">
      <c r="A30" s="5" t="s">
        <v>107</v>
      </c>
      <c r="B30" s="19">
        <f>'Infrastructure Cost'!B6</f>
        <v>0</v>
      </c>
    </row>
    <row r="31" spans="1:5">
      <c r="C31" s="19">
        <f>'Infrastructure Cost'!C6</f>
        <v>0</v>
      </c>
    </row>
    <row r="32" spans="1:5">
      <c r="D32" s="19">
        <f>'Infrastructure Cost'!D6</f>
        <v>0</v>
      </c>
    </row>
    <row r="33" spans="1:5">
      <c r="A33" s="3" t="s">
        <v>108</v>
      </c>
      <c r="B33" s="18">
        <f>B4*B32</f>
        <v>0</v>
      </c>
    </row>
    <row r="34" spans="1:5">
      <c r="C34" s="18">
        <f>C4*C32</f>
        <v>0</v>
      </c>
    </row>
    <row r="35" spans="1:5">
      <c r="D35" s="18">
        <f>D4*D32</f>
        <v>0</v>
      </c>
    </row>
    <row r="36" spans="1:5">
      <c r="A36" s="5" t="s">
        <v>109</v>
      </c>
      <c r="B36" s="14">
        <f>B5*B32</f>
        <v>0</v>
      </c>
    </row>
    <row r="37" spans="1:5">
      <c r="C37" s="14">
        <f>C5*C32</f>
        <v>0</v>
      </c>
    </row>
    <row r="38" spans="1:5">
      <c r="D38" s="14">
        <f>D5*D32</f>
        <v>0</v>
      </c>
    </row>
    <row r="39" spans="1:5">
      <c r="A39" s="3" t="s">
        <v>110</v>
      </c>
      <c r="B39" s="16">
        <f>B35-B38</f>
        <v>0</v>
      </c>
    </row>
    <row r="40" spans="1:5">
      <c r="C40" s="16">
        <f>C35-C38</f>
        <v>0</v>
      </c>
    </row>
    <row r="41" spans="1:5">
      <c r="D41" s="16">
        <f>D35-D38</f>
        <v>0</v>
      </c>
    </row>
    <row r="42" spans="1:5">
      <c r="A42" s="3" t="s">
        <v>111</v>
      </c>
      <c r="B42" s="16">
        <f>B41*12</f>
        <v>0</v>
      </c>
    </row>
    <row r="44" spans="1:5">
      <c r="C44" s="16">
        <f>C41*12</f>
        <v>0</v>
      </c>
    </row>
    <row r="46" spans="1:5">
      <c r="D46" s="16">
        <f>D41*12</f>
        <v>0</v>
      </c>
    </row>
    <row r="48" spans="1:5">
      <c r="A48" s="3" t="s">
        <v>112</v>
      </c>
      <c r="B48" s="16">
        <f>B41*12+C41*12+D41*12</f>
        <v>0</v>
      </c>
      <c r="E48" s="5" t="s">
        <v>113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C27B0"/>
  </sheetPr>
  <dimension ref="A1:F22"/>
  <sheetViews>
    <sheetView workbookViewId="0"/>
  </sheetViews>
  <sheetFormatPr defaultRowHeight="15"/>
  <cols>
    <col min="1" max="1" width="28.7109375" customWidth="1"/>
    <col min="2" max="6" width="16.7109375" customWidth="1"/>
  </cols>
  <sheetData>
    <row r="1" spans="1:6" ht="35" customHeight="1">
      <c r="A1" s="20" t="s">
        <v>114</v>
      </c>
      <c r="B1" s="20"/>
      <c r="C1" s="20"/>
      <c r="D1" s="20"/>
      <c r="E1" s="20"/>
      <c r="F1" s="20"/>
    </row>
    <row r="3" spans="1: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</row>
    <row r="4" spans="1:6">
      <c r="A4" s="3" t="s">
        <v>121</v>
      </c>
      <c r="B4" s="4">
        <v>9.9</v>
      </c>
      <c r="C4" s="21">
        <f>B4*3.26</f>
        <v>0</v>
      </c>
      <c r="D4" s="21">
        <v>99</v>
      </c>
      <c r="E4" s="21">
        <v>49</v>
      </c>
      <c r="F4" s="21">
        <v>79</v>
      </c>
    </row>
    <row r="5" spans="1:6">
      <c r="A5" s="3" t="s">
        <v>122</v>
      </c>
      <c r="B5" s="4">
        <v>29.9</v>
      </c>
      <c r="C5" s="21">
        <f>B5*3.26</f>
        <v>0</v>
      </c>
      <c r="D5" s="21">
        <v>299</v>
      </c>
      <c r="E5" s="21">
        <v>99</v>
      </c>
      <c r="F5" s="21">
        <v>299</v>
      </c>
    </row>
    <row r="6" spans="1:6">
      <c r="A6" s="3" t="s">
        <v>123</v>
      </c>
      <c r="B6" s="4">
        <v>79.90000000000001</v>
      </c>
      <c r="C6" s="21">
        <f>B6*3.26</f>
        <v>0</v>
      </c>
      <c r="D6" s="21">
        <v>699</v>
      </c>
      <c r="E6" s="5" t="s">
        <v>124</v>
      </c>
      <c r="F6" s="21">
        <v>599</v>
      </c>
    </row>
    <row r="8" spans="1:6">
      <c r="A8" s="7" t="s">
        <v>125</v>
      </c>
      <c r="B8" s="7"/>
      <c r="C8" s="7"/>
      <c r="D8" s="7"/>
      <c r="E8" s="7"/>
      <c r="F8" s="7"/>
    </row>
    <row r="9" spans="1:6">
      <c r="A9" s="5" t="s">
        <v>126</v>
      </c>
      <c r="B9" s="21">
        <f>C4-D4</f>
        <v>0</v>
      </c>
      <c r="C9" s="5" t="s">
        <v>127</v>
      </c>
    </row>
    <row r="10" spans="1:6">
      <c r="A10" s="5" t="s">
        <v>128</v>
      </c>
      <c r="B10" s="21">
        <f>C5-D5</f>
        <v>0</v>
      </c>
      <c r="C10" s="5" t="s">
        <v>127</v>
      </c>
    </row>
    <row r="11" spans="1:6">
      <c r="A11" s="5" t="s">
        <v>129</v>
      </c>
      <c r="B11" s="21">
        <f>C6-D6</f>
        <v>0</v>
      </c>
      <c r="C11" s="5" t="s">
        <v>127</v>
      </c>
    </row>
    <row r="13" spans="1:6">
      <c r="A13" s="7" t="s">
        <v>130</v>
      </c>
      <c r="B13" s="7"/>
      <c r="C13" s="7"/>
      <c r="D13" s="7"/>
      <c r="E13" s="7"/>
      <c r="F13" s="7"/>
    </row>
    <row r="14" spans="1:6">
      <c r="A14" s="5" t="s">
        <v>131</v>
      </c>
      <c r="B14" s="10" t="s">
        <v>21</v>
      </c>
      <c r="C14" s="10" t="s">
        <v>21</v>
      </c>
      <c r="D14" s="9" t="s">
        <v>20</v>
      </c>
      <c r="E14" s="9" t="s">
        <v>20</v>
      </c>
      <c r="F14" s="9" t="s">
        <v>20</v>
      </c>
    </row>
    <row r="15" spans="1:6">
      <c r="A15" s="5" t="s">
        <v>132</v>
      </c>
      <c r="B15" s="10" t="s">
        <v>21</v>
      </c>
      <c r="C15" s="10" t="s">
        <v>21</v>
      </c>
      <c r="D15" s="9" t="s">
        <v>20</v>
      </c>
      <c r="E15" s="9" t="s">
        <v>20</v>
      </c>
      <c r="F15" s="9" t="s">
        <v>20</v>
      </c>
    </row>
    <row r="16" spans="1:6">
      <c r="A16" s="5" t="s">
        <v>133</v>
      </c>
      <c r="B16" s="10" t="s">
        <v>21</v>
      </c>
      <c r="C16" s="10" t="s">
        <v>21</v>
      </c>
      <c r="D16" s="9" t="s">
        <v>20</v>
      </c>
      <c r="E16" s="9" t="s">
        <v>20</v>
      </c>
      <c r="F16" s="9" t="s">
        <v>20</v>
      </c>
    </row>
    <row r="17" spans="1:6">
      <c r="A17" s="5" t="s">
        <v>134</v>
      </c>
      <c r="B17" s="10" t="s">
        <v>21</v>
      </c>
      <c r="C17" s="10" t="s">
        <v>21</v>
      </c>
      <c r="D17" s="9" t="s">
        <v>20</v>
      </c>
      <c r="E17" s="9" t="s">
        <v>20</v>
      </c>
      <c r="F17" s="9" t="s">
        <v>20</v>
      </c>
    </row>
    <row r="18" spans="1:6">
      <c r="A18" s="5" t="s">
        <v>135</v>
      </c>
      <c r="B18" s="10" t="s">
        <v>21</v>
      </c>
      <c r="C18" s="10" t="s">
        <v>21</v>
      </c>
      <c r="D18" s="5" t="s">
        <v>136</v>
      </c>
      <c r="E18" s="9" t="s">
        <v>20</v>
      </c>
      <c r="F18" s="9" t="s">
        <v>20</v>
      </c>
    </row>
    <row r="19" spans="1:6">
      <c r="A19" s="5" t="s">
        <v>137</v>
      </c>
      <c r="B19" s="10" t="s">
        <v>21</v>
      </c>
      <c r="C19" s="10" t="s">
        <v>21</v>
      </c>
      <c r="D19" s="10" t="s">
        <v>21</v>
      </c>
      <c r="E19" s="9" t="s">
        <v>20</v>
      </c>
      <c r="F19" s="10" t="s">
        <v>21</v>
      </c>
    </row>
    <row r="20" spans="1:6">
      <c r="A20" s="5" t="s">
        <v>138</v>
      </c>
      <c r="B20" s="10" t="s">
        <v>21</v>
      </c>
      <c r="C20" s="10" t="s">
        <v>21</v>
      </c>
      <c r="D20" s="10" t="s">
        <v>21</v>
      </c>
      <c r="E20" s="10" t="s">
        <v>21</v>
      </c>
      <c r="F20" s="10" t="s">
        <v>21</v>
      </c>
    </row>
    <row r="21" spans="1:6">
      <c r="A21" s="5" t="s">
        <v>139</v>
      </c>
      <c r="B21" s="10" t="s">
        <v>21</v>
      </c>
      <c r="C21" s="10" t="s">
        <v>21</v>
      </c>
      <c r="D21" s="10" t="s">
        <v>21</v>
      </c>
      <c r="E21" s="10" t="s">
        <v>21</v>
      </c>
      <c r="F21" s="10" t="s">
        <v>21</v>
      </c>
    </row>
    <row r="22" spans="1:6">
      <c r="A22" s="5" t="s">
        <v>140</v>
      </c>
      <c r="B22" s="10" t="s">
        <v>21</v>
      </c>
      <c r="C22" s="10" t="s">
        <v>21</v>
      </c>
      <c r="D22" s="10" t="s">
        <v>21</v>
      </c>
      <c r="E22" s="10" t="s">
        <v>21</v>
      </c>
      <c r="F22" s="10" t="s">
        <v>21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Pricing</vt:lpstr>
      <vt:lpstr>Infrastructure Cost</vt:lpstr>
      <vt:lpstr>Profit Analysis</vt:lpstr>
      <vt:lpstr>Competitor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2026-04-02T21:22:38Z</dcterms:created>
  <dcterms:modified xsi:type="dcterms:W3CDTF">2026-04-02T21:22:38Z</dcterms:modified>
</cp:coreProperties>
</file>